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4c608d39ebb31b50/Desktop/Linkedin/Excel Assigment/"/>
    </mc:Choice>
  </mc:AlternateContent>
  <xr:revisionPtr revIDLastSave="2" documentId="13_ncr:1_{1E522C79-41F5-4EA1-A418-75805C0656C0}" xr6:coauthVersionLast="47" xr6:coauthVersionMax="47" xr10:uidLastSave="{8E706AFA-38A6-4B7A-9768-F4AF9AFE14FB}"/>
  <bookViews>
    <workbookView xWindow="-108" yWindow="-108" windowWidth="23256" windowHeight="12456" xr2:uid="{00000000-000D-0000-FFFF-FFFF00000000}"/>
  </bookViews>
  <sheets>
    <sheet name="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9" i="1" l="1"/>
  <c r="K9" i="1" s="1"/>
  <c r="K10" i="1"/>
  <c r="K13" i="1"/>
  <c r="K14" i="1"/>
  <c r="K15" i="1"/>
  <c r="K16" i="1"/>
  <c r="K18" i="1"/>
  <c r="K21" i="1"/>
  <c r="K22" i="1"/>
  <c r="K23" i="1"/>
  <c r="K24" i="1"/>
  <c r="K26" i="1"/>
  <c r="K29" i="1"/>
  <c r="K30" i="1"/>
  <c r="K31" i="1"/>
  <c r="K32" i="1"/>
  <c r="K34" i="1"/>
  <c r="K37" i="1"/>
  <c r="K38" i="1"/>
  <c r="K39" i="1"/>
  <c r="K40" i="1"/>
  <c r="J11" i="1"/>
  <c r="K11" i="1" s="1"/>
  <c r="J12" i="1"/>
  <c r="K12" i="1" s="1"/>
  <c r="J13" i="1"/>
  <c r="J14" i="1"/>
  <c r="J15" i="1"/>
  <c r="J16" i="1"/>
  <c r="J17" i="1"/>
  <c r="K17" i="1" s="1"/>
  <c r="J18" i="1"/>
  <c r="J19" i="1"/>
  <c r="K19" i="1" s="1"/>
  <c r="J20" i="1"/>
  <c r="K20" i="1" s="1"/>
  <c r="J21" i="1"/>
  <c r="J22" i="1"/>
  <c r="J23" i="1"/>
  <c r="J24" i="1"/>
  <c r="J25" i="1"/>
  <c r="K25" i="1" s="1"/>
  <c r="J26" i="1"/>
  <c r="J27" i="1"/>
  <c r="K27" i="1" s="1"/>
  <c r="J28" i="1"/>
  <c r="K28" i="1" s="1"/>
  <c r="J29" i="1"/>
  <c r="J30" i="1"/>
  <c r="J31" i="1"/>
  <c r="J32" i="1"/>
  <c r="J33" i="1"/>
  <c r="K33" i="1" s="1"/>
  <c r="J34" i="1"/>
  <c r="J35" i="1"/>
  <c r="K35" i="1" s="1"/>
  <c r="J36" i="1"/>
  <c r="K36" i="1" s="1"/>
  <c r="J37" i="1"/>
  <c r="J38" i="1"/>
  <c r="J39" i="1"/>
  <c r="J40" i="1"/>
  <c r="J41" i="1"/>
  <c r="K41" i="1" s="1"/>
  <c r="J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10" i="1"/>
  <c r="H9" i="1"/>
</calcChain>
</file>

<file path=xl/sharedStrings.xml><?xml version="1.0" encoding="utf-8"?>
<sst xmlns="http://schemas.openxmlformats.org/spreadsheetml/2006/main" count="48" uniqueCount="20">
  <si>
    <t>Record a Macro to format the table of any size, with proper Number Formatting</t>
  </si>
  <si>
    <t>And Profit , Profit % calculation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</si>
  <si>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</si>
  <si>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</si>
  <si>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</si>
  <si>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</si>
  <si>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</si>
  <si>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</si>
  <si>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</si>
  <si>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</si>
  <si>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</si>
  <si>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</si>
  <si>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</si>
  <si>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</si>
  <si>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</si>
  <si>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</si>
  <si>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Sales = (Quantity*Unit Price)</t>
  </si>
  <si>
    <t>Profit = (Quantity*Product Margin)-Shipping Cost</t>
  </si>
  <si>
    <t>Note: Assign a Macro as a 'Command' into the 'Custom Tab'</t>
  </si>
  <si>
    <t>Profit%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</si>
</sst>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53340</xdr:colOff>
      <xdr:row>18</xdr:row>
      <xdr:rowOff>160020</xdr:rowOff>
    </xdr:from>
    <xdr:to>
      <xdr:col>17</xdr:col>
      <xdr:colOff>106680</xdr:colOff>
      <xdr:row>21</xdr:row>
      <xdr:rowOff>152400</xdr:rowOff>
    </xdr:to>
    <xdr:sp macro="[0]!Module1.Profit_percen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72BFF01-B2B3-19E9-130C-71DFF8686CF1}"/>
            </a:ext>
          </a:extLst>
        </xdr:cNvPr>
        <xdr:cNvSpPr/>
      </xdr:nvSpPr>
      <xdr:spPr>
        <a:xfrm>
          <a:off x="11696700" y="3451860"/>
          <a:ext cx="1882140" cy="5410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Arial Black" panose="020B0A04020102020204" pitchFamily="34" charset="0"/>
            </a:rPr>
            <a:t>Command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FFDDC63-127A-443E-ABCB-5613BE0F6544}" name="Table1" displayName="Table1" ref="C8:K41" totalsRowShown="0">
  <autoFilter ref="C8:K41" xr:uid="{4FFDDC63-127A-443E-ABCB-5613BE0F6544}"/>
  <tableColumns count="9">
    <tableColumn id="1" xr3:uid="{A44A92E0-9A81-474C-A9E9-B1DD20D5DFC4}" name="Row ID"/>
    <tableColumn id="2" xr3:uid="{2280EA9D-A3D3-4882-807D-7EAD61B4F9BF}" name="Order Priority"/>
    <tableColumn id="3" xr3:uid="{3AA10509-A600-4206-BC0C-4B1F50E84CCF}" name="Quantity ordered"/>
    <tableColumn id="4" xr3:uid="{BF97CEC8-10A4-40C6-B98D-603EF3055A0A}" name="Unit Price"/>
    <tableColumn id="5" xr3:uid="{63BEDA6B-A9AF-4EA3-836D-9D3366B4E1E1}" name="Shipping Cost"/>
    <tableColumn id="6" xr3:uid="{591FEAAB-3E0B-471B-B7BB-9E726BFE9C18}" name="Sales amount">
      <calculatedColumnFormula>(E9+F9)</calculatedColumnFormula>
    </tableColumn>
    <tableColumn id="7" xr3:uid="{94249A46-5C5F-480F-B94F-3DB7D9991BF0}" name="Product Margin per unit"/>
    <tableColumn id="8" xr3:uid="{68BB228B-AD29-423D-B7A8-48DF5A42A5A7}" name="Profit">
      <calculatedColumnFormula>I9*E9-G9</calculatedColumnFormula>
    </tableColumn>
    <tableColumn id="9" xr3:uid="{228E197D-1CD2-45B3-8074-5FF5FF1B4F77}" name="Profit%">
      <calculatedColumnFormula>J9/F9*100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2:K41"/>
  <sheetViews>
    <sheetView tabSelected="1" workbookViewId="0">
      <selection activeCell="N16" sqref="N16"/>
    </sheetView>
  </sheetViews>
  <sheetFormatPr defaultRowHeight="14.4" x14ac:dyDescent="0.3"/>
  <cols>
    <col min="4" max="4" width="14.21875" customWidth="1"/>
    <col min="5" max="5" width="18" bestFit="1" customWidth="1"/>
    <col min="6" max="6" width="11" customWidth="1"/>
    <col min="7" max="7" width="14.33203125" customWidth="1"/>
    <col min="8" max="8" width="18" bestFit="1" customWidth="1"/>
    <col min="9" max="9" width="23" customWidth="1"/>
    <col min="11" max="11" width="9" customWidth="1"/>
  </cols>
  <sheetData>
    <row r="2" spans="3:11" x14ac:dyDescent="0.3">
      <c r="C2" s="1" t="s">
        <v>0</v>
      </c>
      <c r="I2" s="1" t="s">
        <v>18</v>
      </c>
    </row>
    <row r="3" spans="3:11" x14ac:dyDescent="0.3">
      <c r="C3" s="1" t="s">
        <v>1</v>
      </c>
    </row>
    <row r="4" spans="3:11" x14ac:dyDescent="0.3">
      <c r="C4" s="1" t="s">
        <v>15</v>
      </c>
    </row>
    <row r="5" spans="3:11" x14ac:dyDescent="0.3">
      <c r="C5" s="1" t="s">
        <v>16</v>
      </c>
    </row>
    <row r="6" spans="3:11" x14ac:dyDescent="0.3">
      <c r="C6" s="1" t="s">
        <v>17</v>
      </c>
    </row>
    <row r="8" spans="3:11" x14ac:dyDescent="0.3">
      <c r="C8" t="s">
        <v>2</v>
      </c>
      <c r="D8" t="s">
        <v>3</v>
      </c>
      <c r="E8" t="s">
        <v>10</v>
      </c>
      <c r="F8" t="s">
        <v>11</v>
      </c>
      <c r="G8" t="s">
        <v>12</v>
      </c>
      <c r="H8" t="s">
        <v>13</v>
      </c>
      <c r="I8" t="s">
        <v>14</v>
      </c>
      <c r="J8" t="s">
        <v>9</v>
      </c>
      <c r="K8" t="s">
        <v>19</v>
      </c>
    </row>
    <row r="9" spans="3:11" x14ac:dyDescent="0.3">
      <c r="C9">
        <v>20847</v>
      </c>
      <c r="D9" t="s">
        <v>4</v>
      </c>
      <c r="E9">
        <v>4</v>
      </c>
      <c r="F9">
        <v>2.84</v>
      </c>
      <c r="G9">
        <v>0.93</v>
      </c>
      <c r="H9">
        <f>(E9*F9)+G9</f>
        <v>12.29</v>
      </c>
      <c r="I9">
        <v>0.54</v>
      </c>
      <c r="J9">
        <f>I9*E9-G9</f>
        <v>1.23</v>
      </c>
      <c r="K9">
        <f>J9/F9*100</f>
        <v>43.309859154929583</v>
      </c>
    </row>
    <row r="10" spans="3:11" x14ac:dyDescent="0.3">
      <c r="C10">
        <v>20228</v>
      </c>
      <c r="D10" t="s">
        <v>5</v>
      </c>
      <c r="E10">
        <v>12</v>
      </c>
      <c r="F10">
        <v>500.98</v>
      </c>
      <c r="G10">
        <v>26</v>
      </c>
      <c r="H10">
        <f>(E10+F10)</f>
        <v>512.98</v>
      </c>
      <c r="I10">
        <v>0.6</v>
      </c>
      <c r="J10">
        <f>I10*E10-G10</f>
        <v>-18.8</v>
      </c>
      <c r="K10">
        <f t="shared" ref="K10:K41" si="0">J10/F10*100</f>
        <v>-3.7526448161603256</v>
      </c>
    </row>
    <row r="11" spans="3:11" x14ac:dyDescent="0.3">
      <c r="C11">
        <v>21776</v>
      </c>
      <c r="D11" t="s">
        <v>6</v>
      </c>
      <c r="E11">
        <v>22</v>
      </c>
      <c r="F11">
        <v>9.48</v>
      </c>
      <c r="G11">
        <v>7.29</v>
      </c>
      <c r="H11">
        <f t="shared" ref="H11:H41" si="1">(E11+F11)</f>
        <v>31.48</v>
      </c>
      <c r="I11">
        <v>0.45</v>
      </c>
      <c r="J11">
        <f t="shared" ref="J11:J41" si="2">I11*E11-G11</f>
        <v>2.6100000000000003</v>
      </c>
      <c r="K11">
        <f t="shared" si="0"/>
        <v>27.531645569620256</v>
      </c>
    </row>
    <row r="12" spans="3:11" x14ac:dyDescent="0.3">
      <c r="C12">
        <v>24844</v>
      </c>
      <c r="D12" t="s">
        <v>7</v>
      </c>
      <c r="E12">
        <v>16</v>
      </c>
      <c r="F12">
        <v>78.69</v>
      </c>
      <c r="G12">
        <v>19.989999999999998</v>
      </c>
      <c r="H12">
        <f t="shared" si="1"/>
        <v>94.69</v>
      </c>
      <c r="I12">
        <v>0.43</v>
      </c>
      <c r="J12">
        <f t="shared" si="2"/>
        <v>-13.11</v>
      </c>
      <c r="K12">
        <f t="shared" si="0"/>
        <v>-16.660312619138391</v>
      </c>
    </row>
    <row r="13" spans="3:11" x14ac:dyDescent="0.3">
      <c r="C13">
        <v>24846</v>
      </c>
      <c r="D13" t="s">
        <v>7</v>
      </c>
      <c r="E13">
        <v>7</v>
      </c>
      <c r="F13">
        <v>3.28</v>
      </c>
      <c r="G13">
        <v>2.31</v>
      </c>
      <c r="H13">
        <f t="shared" si="1"/>
        <v>10.28</v>
      </c>
      <c r="I13">
        <v>0.56000000000000005</v>
      </c>
      <c r="J13">
        <f t="shared" si="2"/>
        <v>1.6100000000000003</v>
      </c>
      <c r="K13">
        <f t="shared" si="0"/>
        <v>49.085365853658544</v>
      </c>
    </row>
    <row r="14" spans="3:11" x14ac:dyDescent="0.3">
      <c r="C14">
        <v>24847</v>
      </c>
      <c r="D14" t="s">
        <v>7</v>
      </c>
      <c r="E14">
        <v>4</v>
      </c>
      <c r="F14">
        <v>3.28</v>
      </c>
      <c r="G14">
        <v>4.2</v>
      </c>
      <c r="H14">
        <f t="shared" si="1"/>
        <v>7.2799999999999994</v>
      </c>
      <c r="I14">
        <v>0.56000000000000005</v>
      </c>
      <c r="J14">
        <f t="shared" si="2"/>
        <v>-1.96</v>
      </c>
      <c r="K14">
        <f t="shared" si="0"/>
        <v>-59.756097560975604</v>
      </c>
    </row>
    <row r="15" spans="3:11" x14ac:dyDescent="0.3">
      <c r="C15">
        <v>24848</v>
      </c>
      <c r="D15" t="s">
        <v>7</v>
      </c>
      <c r="E15">
        <v>4</v>
      </c>
      <c r="F15">
        <v>3.58</v>
      </c>
      <c r="G15">
        <v>1.63</v>
      </c>
      <c r="H15">
        <f t="shared" si="1"/>
        <v>7.58</v>
      </c>
      <c r="I15">
        <v>0.36</v>
      </c>
      <c r="J15">
        <f t="shared" si="2"/>
        <v>-0.18999999999999995</v>
      </c>
      <c r="K15">
        <f t="shared" si="0"/>
        <v>-5.3072625698324005</v>
      </c>
    </row>
    <row r="16" spans="3:11" x14ac:dyDescent="0.3">
      <c r="C16">
        <v>18181</v>
      </c>
      <c r="D16" t="s">
        <v>6</v>
      </c>
      <c r="E16">
        <v>7</v>
      </c>
      <c r="F16">
        <v>4.42</v>
      </c>
      <c r="G16">
        <v>4.99</v>
      </c>
      <c r="H16">
        <f t="shared" si="1"/>
        <v>11.42</v>
      </c>
      <c r="I16">
        <v>0.38</v>
      </c>
      <c r="J16">
        <f t="shared" si="2"/>
        <v>-2.33</v>
      </c>
      <c r="K16">
        <f t="shared" si="0"/>
        <v>-52.714932126696837</v>
      </c>
    </row>
    <row r="17" spans="3:11" x14ac:dyDescent="0.3">
      <c r="C17">
        <v>20925</v>
      </c>
      <c r="D17" t="s">
        <v>7</v>
      </c>
      <c r="E17">
        <v>10</v>
      </c>
      <c r="F17">
        <v>35.94</v>
      </c>
      <c r="G17">
        <v>6.66</v>
      </c>
      <c r="H17">
        <f t="shared" si="1"/>
        <v>45.94</v>
      </c>
      <c r="I17">
        <v>0.4</v>
      </c>
      <c r="J17">
        <f t="shared" si="2"/>
        <v>-2.66</v>
      </c>
      <c r="K17">
        <f t="shared" si="0"/>
        <v>-7.4012242626599907</v>
      </c>
    </row>
    <row r="18" spans="3:11" x14ac:dyDescent="0.3">
      <c r="C18">
        <v>26267</v>
      </c>
      <c r="D18" t="s">
        <v>4</v>
      </c>
      <c r="E18">
        <v>6</v>
      </c>
      <c r="F18">
        <v>2.98</v>
      </c>
      <c r="G18">
        <v>1.58</v>
      </c>
      <c r="H18">
        <f t="shared" si="1"/>
        <v>8.98</v>
      </c>
      <c r="I18">
        <v>0.39</v>
      </c>
      <c r="J18">
        <f t="shared" si="2"/>
        <v>0.75999999999999979</v>
      </c>
      <c r="K18">
        <f t="shared" si="0"/>
        <v>25.503355704697977</v>
      </c>
    </row>
    <row r="19" spans="3:11" x14ac:dyDescent="0.3">
      <c r="C19">
        <v>26268</v>
      </c>
      <c r="D19" t="s">
        <v>4</v>
      </c>
      <c r="E19">
        <v>10</v>
      </c>
      <c r="F19">
        <v>115.99</v>
      </c>
      <c r="G19">
        <v>2.5</v>
      </c>
      <c r="H19">
        <f t="shared" si="1"/>
        <v>125.99</v>
      </c>
      <c r="I19">
        <v>0.55000000000000004</v>
      </c>
      <c r="J19">
        <f t="shared" si="2"/>
        <v>3</v>
      </c>
      <c r="K19">
        <f t="shared" si="0"/>
        <v>2.5864298646435038</v>
      </c>
    </row>
    <row r="20" spans="3:11" x14ac:dyDescent="0.3">
      <c r="C20">
        <v>23890</v>
      </c>
      <c r="D20" t="s">
        <v>4</v>
      </c>
      <c r="E20">
        <v>17</v>
      </c>
      <c r="F20">
        <v>26.48</v>
      </c>
      <c r="G20">
        <v>6.93</v>
      </c>
      <c r="H20">
        <f t="shared" si="1"/>
        <v>43.480000000000004</v>
      </c>
      <c r="I20">
        <v>0.49</v>
      </c>
      <c r="J20">
        <f t="shared" si="2"/>
        <v>1.4000000000000004</v>
      </c>
      <c r="K20">
        <f t="shared" si="0"/>
        <v>5.2870090634441098</v>
      </c>
    </row>
    <row r="21" spans="3:11" x14ac:dyDescent="0.3">
      <c r="C21">
        <v>24063</v>
      </c>
      <c r="D21" t="s">
        <v>5</v>
      </c>
      <c r="E21">
        <v>18</v>
      </c>
      <c r="F21">
        <v>12.99</v>
      </c>
      <c r="G21">
        <v>9.44</v>
      </c>
      <c r="H21">
        <f t="shared" si="1"/>
        <v>30.990000000000002</v>
      </c>
      <c r="I21">
        <v>0.39</v>
      </c>
      <c r="J21">
        <f t="shared" si="2"/>
        <v>-2.419999999999999</v>
      </c>
      <c r="K21">
        <f t="shared" si="0"/>
        <v>-18.629715165511925</v>
      </c>
    </row>
    <row r="22" spans="3:11" x14ac:dyDescent="0.3">
      <c r="C22">
        <v>5890</v>
      </c>
      <c r="D22" t="s">
        <v>4</v>
      </c>
      <c r="E22">
        <v>70</v>
      </c>
      <c r="F22">
        <v>26.48</v>
      </c>
      <c r="G22">
        <v>6.93</v>
      </c>
      <c r="H22">
        <f t="shared" si="1"/>
        <v>96.48</v>
      </c>
      <c r="I22">
        <v>0.49</v>
      </c>
      <c r="J22">
        <f t="shared" si="2"/>
        <v>27.369999999999997</v>
      </c>
      <c r="K22">
        <f t="shared" si="0"/>
        <v>103.36102719033231</v>
      </c>
    </row>
    <row r="23" spans="3:11" x14ac:dyDescent="0.3">
      <c r="C23">
        <v>6062</v>
      </c>
      <c r="D23" t="s">
        <v>5</v>
      </c>
      <c r="E23">
        <v>58</v>
      </c>
      <c r="F23">
        <v>5</v>
      </c>
      <c r="G23">
        <v>3.39</v>
      </c>
      <c r="H23">
        <f t="shared" si="1"/>
        <v>63</v>
      </c>
      <c r="I23">
        <v>0.37</v>
      </c>
      <c r="J23">
        <f t="shared" si="2"/>
        <v>18.07</v>
      </c>
      <c r="K23">
        <f t="shared" si="0"/>
        <v>361.4</v>
      </c>
    </row>
    <row r="24" spans="3:11" x14ac:dyDescent="0.3">
      <c r="C24">
        <v>6063</v>
      </c>
      <c r="D24" t="s">
        <v>5</v>
      </c>
      <c r="E24">
        <v>71</v>
      </c>
      <c r="F24">
        <v>12.99</v>
      </c>
      <c r="G24">
        <v>9.44</v>
      </c>
      <c r="H24">
        <f t="shared" si="1"/>
        <v>83.99</v>
      </c>
      <c r="I24">
        <v>0.39</v>
      </c>
      <c r="J24">
        <f t="shared" si="2"/>
        <v>18.25</v>
      </c>
      <c r="K24">
        <f t="shared" si="0"/>
        <v>140.49268668206312</v>
      </c>
    </row>
    <row r="25" spans="3:11" x14ac:dyDescent="0.3">
      <c r="C25">
        <v>20631</v>
      </c>
      <c r="D25" t="s">
        <v>4</v>
      </c>
      <c r="E25">
        <v>1</v>
      </c>
      <c r="F25">
        <v>55.48</v>
      </c>
      <c r="G25">
        <v>14.3</v>
      </c>
      <c r="H25">
        <f t="shared" si="1"/>
        <v>56.48</v>
      </c>
      <c r="I25">
        <v>0.37</v>
      </c>
      <c r="J25">
        <f t="shared" si="2"/>
        <v>-13.930000000000001</v>
      </c>
      <c r="K25">
        <f t="shared" si="0"/>
        <v>-25.108147080028843</v>
      </c>
    </row>
    <row r="26" spans="3:11" x14ac:dyDescent="0.3">
      <c r="C26">
        <v>20632</v>
      </c>
      <c r="D26" t="s">
        <v>4</v>
      </c>
      <c r="E26">
        <v>1</v>
      </c>
      <c r="F26">
        <v>1.68</v>
      </c>
      <c r="G26">
        <v>1.57</v>
      </c>
      <c r="H26">
        <f t="shared" si="1"/>
        <v>2.6799999999999997</v>
      </c>
      <c r="I26">
        <v>0.59</v>
      </c>
      <c r="J26">
        <f t="shared" si="2"/>
        <v>-0.98000000000000009</v>
      </c>
      <c r="K26">
        <f t="shared" si="0"/>
        <v>-58.333333333333336</v>
      </c>
    </row>
    <row r="27" spans="3:11" x14ac:dyDescent="0.3">
      <c r="C27">
        <v>23967</v>
      </c>
      <c r="D27" t="s">
        <v>5</v>
      </c>
      <c r="E27">
        <v>12</v>
      </c>
      <c r="F27">
        <v>4.1399999999999997</v>
      </c>
      <c r="G27">
        <v>6.6</v>
      </c>
      <c r="H27">
        <f t="shared" si="1"/>
        <v>16.14</v>
      </c>
      <c r="I27">
        <v>0.49</v>
      </c>
      <c r="J27">
        <f t="shared" si="2"/>
        <v>-0.71999999999999975</v>
      </c>
      <c r="K27">
        <f t="shared" si="0"/>
        <v>-17.391304347826082</v>
      </c>
    </row>
    <row r="28" spans="3:11" x14ac:dyDescent="0.3">
      <c r="C28">
        <v>23509</v>
      </c>
      <c r="D28" t="s">
        <v>4</v>
      </c>
      <c r="E28">
        <v>13</v>
      </c>
      <c r="F28">
        <v>34.99</v>
      </c>
      <c r="G28">
        <v>7.73</v>
      </c>
      <c r="H28">
        <f t="shared" si="1"/>
        <v>47.99</v>
      </c>
      <c r="I28">
        <v>0.59</v>
      </c>
      <c r="J28">
        <f t="shared" si="2"/>
        <v>-6.0000000000000497E-2</v>
      </c>
      <c r="K28">
        <f t="shared" si="0"/>
        <v>-0.17147756501857814</v>
      </c>
    </row>
    <row r="29" spans="3:11" x14ac:dyDescent="0.3">
      <c r="C29">
        <v>23612</v>
      </c>
      <c r="D29" t="s">
        <v>4</v>
      </c>
      <c r="E29">
        <v>2</v>
      </c>
      <c r="F29">
        <v>17.98</v>
      </c>
      <c r="G29">
        <v>8.51</v>
      </c>
      <c r="H29">
        <f t="shared" si="1"/>
        <v>19.98</v>
      </c>
      <c r="I29">
        <v>0.4</v>
      </c>
      <c r="J29">
        <f t="shared" si="2"/>
        <v>-7.71</v>
      </c>
      <c r="K29">
        <f t="shared" si="0"/>
        <v>-42.880978865406007</v>
      </c>
    </row>
    <row r="30" spans="3:11" x14ac:dyDescent="0.3">
      <c r="C30">
        <v>23278</v>
      </c>
      <c r="D30" t="s">
        <v>7</v>
      </c>
      <c r="E30">
        <v>8</v>
      </c>
      <c r="F30">
        <v>125.99</v>
      </c>
      <c r="G30">
        <v>7.69</v>
      </c>
      <c r="H30">
        <f t="shared" si="1"/>
        <v>133.99</v>
      </c>
      <c r="I30">
        <v>0.59</v>
      </c>
      <c r="J30">
        <f t="shared" si="2"/>
        <v>-2.9700000000000006</v>
      </c>
      <c r="K30">
        <f t="shared" si="0"/>
        <v>-2.357329946821177</v>
      </c>
    </row>
    <row r="31" spans="3:11" x14ac:dyDescent="0.3">
      <c r="C31">
        <v>19355</v>
      </c>
      <c r="D31" t="s">
        <v>8</v>
      </c>
      <c r="E31">
        <v>22</v>
      </c>
      <c r="F31">
        <v>205.99</v>
      </c>
      <c r="G31">
        <v>8.99</v>
      </c>
      <c r="H31">
        <f t="shared" si="1"/>
        <v>227.99</v>
      </c>
      <c r="I31">
        <v>0.56000000000000005</v>
      </c>
      <c r="J31">
        <f t="shared" si="2"/>
        <v>3.33</v>
      </c>
      <c r="K31">
        <f t="shared" si="0"/>
        <v>1.6165833292878296</v>
      </c>
    </row>
    <row r="32" spans="3:11" x14ac:dyDescent="0.3">
      <c r="C32">
        <v>23654</v>
      </c>
      <c r="D32" t="s">
        <v>5</v>
      </c>
      <c r="E32">
        <v>13</v>
      </c>
      <c r="F32">
        <v>4.24</v>
      </c>
      <c r="G32">
        <v>5.41</v>
      </c>
      <c r="H32">
        <f t="shared" si="1"/>
        <v>17.240000000000002</v>
      </c>
      <c r="I32">
        <v>0.35</v>
      </c>
      <c r="J32">
        <f t="shared" si="2"/>
        <v>-0.86000000000000032</v>
      </c>
      <c r="K32">
        <f t="shared" si="0"/>
        <v>-20.283018867924536</v>
      </c>
    </row>
    <row r="33" spans="3:11" x14ac:dyDescent="0.3">
      <c r="C33">
        <v>23655</v>
      </c>
      <c r="D33" t="s">
        <v>5</v>
      </c>
      <c r="E33">
        <v>18</v>
      </c>
      <c r="F33">
        <v>2.94</v>
      </c>
      <c r="G33">
        <v>0.7</v>
      </c>
      <c r="H33">
        <f t="shared" si="1"/>
        <v>20.94</v>
      </c>
      <c r="I33">
        <v>0.57999999999999996</v>
      </c>
      <c r="J33">
        <f t="shared" si="2"/>
        <v>9.74</v>
      </c>
      <c r="K33">
        <f t="shared" si="0"/>
        <v>331.29251700680277</v>
      </c>
    </row>
    <row r="34" spans="3:11" x14ac:dyDescent="0.3">
      <c r="C34">
        <v>25933</v>
      </c>
      <c r="D34" t="s">
        <v>4</v>
      </c>
      <c r="E34">
        <v>6</v>
      </c>
      <c r="F34">
        <v>99.99</v>
      </c>
      <c r="G34">
        <v>19.989999999999998</v>
      </c>
      <c r="H34">
        <f t="shared" si="1"/>
        <v>105.99</v>
      </c>
      <c r="I34">
        <v>0.52</v>
      </c>
      <c r="J34">
        <f t="shared" si="2"/>
        <v>-16.869999999999997</v>
      </c>
      <c r="K34">
        <f t="shared" si="0"/>
        <v>-16.871687168716871</v>
      </c>
    </row>
    <row r="35" spans="3:11" x14ac:dyDescent="0.3">
      <c r="C35">
        <v>20697</v>
      </c>
      <c r="D35" t="s">
        <v>7</v>
      </c>
      <c r="E35">
        <v>6</v>
      </c>
      <c r="F35">
        <v>115.99</v>
      </c>
      <c r="G35">
        <v>2.5</v>
      </c>
      <c r="H35">
        <f t="shared" si="1"/>
        <v>121.99</v>
      </c>
      <c r="I35">
        <v>0.56999999999999995</v>
      </c>
      <c r="J35">
        <f t="shared" si="2"/>
        <v>0.91999999999999993</v>
      </c>
      <c r="K35">
        <f t="shared" si="0"/>
        <v>0.79317182515734108</v>
      </c>
    </row>
    <row r="36" spans="3:11" x14ac:dyDescent="0.3">
      <c r="C36">
        <v>20698</v>
      </c>
      <c r="D36" t="s">
        <v>7</v>
      </c>
      <c r="E36">
        <v>1</v>
      </c>
      <c r="F36">
        <v>3502.14</v>
      </c>
      <c r="G36">
        <v>8.73</v>
      </c>
      <c r="H36">
        <f t="shared" si="1"/>
        <v>3503.14</v>
      </c>
      <c r="I36">
        <v>0.56999999999999995</v>
      </c>
      <c r="J36">
        <f t="shared" si="2"/>
        <v>-8.16</v>
      </c>
      <c r="K36">
        <f t="shared" si="0"/>
        <v>-0.23300039404478404</v>
      </c>
    </row>
    <row r="37" spans="3:11" x14ac:dyDescent="0.3">
      <c r="C37">
        <v>22890</v>
      </c>
      <c r="D37" t="s">
        <v>4</v>
      </c>
      <c r="E37">
        <v>17</v>
      </c>
      <c r="F37">
        <v>175.99</v>
      </c>
      <c r="G37">
        <v>5.79</v>
      </c>
      <c r="H37">
        <f t="shared" si="1"/>
        <v>192.99</v>
      </c>
      <c r="I37">
        <v>0.36</v>
      </c>
      <c r="J37">
        <f t="shared" si="2"/>
        <v>0.33000000000000007</v>
      </c>
      <c r="K37">
        <f t="shared" si="0"/>
        <v>0.18751065401443268</v>
      </c>
    </row>
    <row r="38" spans="3:11" x14ac:dyDescent="0.3">
      <c r="C38">
        <v>25354</v>
      </c>
      <c r="D38" t="s">
        <v>4</v>
      </c>
      <c r="E38">
        <v>20</v>
      </c>
      <c r="F38">
        <v>155.06</v>
      </c>
      <c r="G38">
        <v>1.49</v>
      </c>
      <c r="H38">
        <f t="shared" si="1"/>
        <v>175.06</v>
      </c>
      <c r="I38">
        <v>0.38</v>
      </c>
      <c r="J38">
        <f t="shared" si="2"/>
        <v>6.1099999999999994</v>
      </c>
      <c r="K38">
        <f t="shared" si="0"/>
        <v>3.9404101638075582</v>
      </c>
    </row>
    <row r="39" spans="3:11" x14ac:dyDescent="0.3">
      <c r="C39">
        <v>21017</v>
      </c>
      <c r="D39" t="s">
        <v>5</v>
      </c>
      <c r="E39">
        <v>17</v>
      </c>
      <c r="F39">
        <v>5.98</v>
      </c>
      <c r="G39">
        <v>0.7</v>
      </c>
      <c r="H39">
        <f t="shared" si="1"/>
        <v>22.98</v>
      </c>
      <c r="I39">
        <v>0.56000000000000005</v>
      </c>
      <c r="J39">
        <f t="shared" si="2"/>
        <v>8.8200000000000021</v>
      </c>
      <c r="K39">
        <f t="shared" si="0"/>
        <v>147.49163879598666</v>
      </c>
    </row>
    <row r="40" spans="3:11" x14ac:dyDescent="0.3">
      <c r="C40">
        <v>21019</v>
      </c>
      <c r="D40" t="s">
        <v>5</v>
      </c>
      <c r="E40">
        <v>3</v>
      </c>
      <c r="F40">
        <v>29.14</v>
      </c>
      <c r="G40">
        <v>5.15</v>
      </c>
      <c r="H40">
        <f t="shared" si="1"/>
        <v>32.14</v>
      </c>
      <c r="I40">
        <v>0.36</v>
      </c>
      <c r="J40">
        <f t="shared" si="2"/>
        <v>-4.07</v>
      </c>
      <c r="K40">
        <f t="shared" si="0"/>
        <v>-13.967055593685657</v>
      </c>
    </row>
    <row r="41" spans="3:11" x14ac:dyDescent="0.3">
      <c r="C41">
        <v>23274</v>
      </c>
      <c r="D41" t="s">
        <v>8</v>
      </c>
      <c r="E41">
        <v>17</v>
      </c>
      <c r="F41">
        <v>3.69</v>
      </c>
      <c r="G41">
        <v>4.8600000000000003</v>
      </c>
      <c r="H41">
        <f t="shared" si="1"/>
        <v>20.69</v>
      </c>
      <c r="I41">
        <v>0.38</v>
      </c>
      <c r="J41">
        <f t="shared" si="2"/>
        <v>1.5999999999999996</v>
      </c>
      <c r="K41">
        <f t="shared" si="0"/>
        <v>43.360433604336038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Rajashri Shende</cp:lastModifiedBy>
  <dcterms:created xsi:type="dcterms:W3CDTF">2015-06-05T18:17:20Z</dcterms:created>
  <dcterms:modified xsi:type="dcterms:W3CDTF">2023-10-13T07:25:12Z</dcterms:modified>
</cp:coreProperties>
</file>